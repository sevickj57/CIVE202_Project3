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103cd0eaaec9c2c2/Documents/"/>
    </mc:Choice>
  </mc:AlternateContent>
  <xr:revisionPtr revIDLastSave="0" documentId="8_{02C35B49-F1D9-45F5-99D4-8A96688144B4}" xr6:coauthVersionLast="47" xr6:coauthVersionMax="47" xr10:uidLastSave="{00000000-0000-0000-0000-000000000000}"/>
  <bookViews>
    <workbookView xWindow="-110" yWindow="-110" windowWidth="19420" windowHeight="115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 l="1"/>
  <c r="E18" i="11"/>
  <c r="E17" i="11"/>
  <c r="E16" i="11"/>
  <c r="F10" i="11"/>
  <c r="F12" i="11"/>
  <c r="F13" i="11" s="1"/>
  <c r="E11" i="11"/>
  <c r="E13" i="11"/>
  <c r="Q1" i="11"/>
  <c r="H7" i="11"/>
  <c r="E9" i="11" l="1"/>
  <c r="E15" i="11" s="1"/>
  <c r="F9" i="11" l="1"/>
  <c r="F16" i="11" s="1"/>
  <c r="I5" i="11"/>
  <c r="H14" i="11"/>
  <c r="H8" i="11"/>
  <c r="F18" i="11" l="1"/>
  <c r="F19" i="11"/>
  <c r="F17" i="11"/>
  <c r="F15" i="11"/>
  <c r="F11" i="11"/>
  <c r="H9" i="11"/>
  <c r="I6" i="11"/>
  <c r="H10" i="11" l="1"/>
  <c r="H15" i="11"/>
  <c r="H13" i="11"/>
  <c r="J5" i="11"/>
  <c r="K5" i="11" s="1"/>
  <c r="L5" i="11" s="1"/>
  <c r="M5" i="11" s="1"/>
  <c r="N5" i="11" s="1"/>
  <c r="O5" i="11" s="1"/>
  <c r="P5" i="11" s="1"/>
  <c r="I4" i="11"/>
  <c r="H16" i="11" l="1"/>
  <c r="H11" i="11"/>
  <c r="H12" i="11"/>
  <c r="P4" i="11"/>
  <c r="Q5" i="11"/>
  <c r="R5" i="11" s="1"/>
  <c r="S5" i="11" s="1"/>
  <c r="T5" i="11" s="1"/>
  <c r="U5" i="11" s="1"/>
  <c r="V5" i="11" s="1"/>
  <c r="W5" i="11" s="1"/>
  <c r="J6" i="11"/>
  <c r="W4" i="11" l="1"/>
  <c r="X5" i="11"/>
  <c r="Y5" i="11" s="1"/>
  <c r="Z5" i="11" s="1"/>
  <c r="AA5" i="11" s="1"/>
  <c r="AB5" i="11" s="1"/>
  <c r="AC5" i="11" s="1"/>
  <c r="AD5" i="11" s="1"/>
  <c r="K6" i="11"/>
  <c r="H17" i="11" l="1"/>
  <c r="AE5" i="11"/>
  <c r="AF5" i="11" s="1"/>
  <c r="AG5" i="11" s="1"/>
  <c r="AH5" i="11" s="1"/>
  <c r="AI5" i="11" s="1"/>
  <c r="AJ5" i="11" s="1"/>
  <c r="AD4" i="11"/>
  <c r="L6" i="11"/>
  <c r="H18" i="11" l="1"/>
  <c r="H19" i="1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<sst xmlns="http://schemas.openxmlformats.org/spreadsheetml/2006/main" count="36" uniqueCount="36">
  <si>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</si>
  <si>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</si>
  <si>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</si>
  <si>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</si>
  <si>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</si>
  <si>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</si>
  <si>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</si>
  <si>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</si>
  <si>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</si>
  <si>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</si>
  <si>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</si>
  <si>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</si>
  <si>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</si>
  <si>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</si>
  <si>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</si>
  <si>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</si>
  <si>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</si>
  <si>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</si>
  <si>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</si>
  <si>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</si>
  <si>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</si>
  <si>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</si>
  <si>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3</t>
  </si>
  <si>
    <t>Data work</t>
  </si>
  <si>
    <t>Import and format data</t>
  </si>
  <si>
    <t>Creat Visualizations</t>
  </si>
  <si>
    <t>Develop Simulation</t>
  </si>
  <si>
    <t xml:space="preserve">      Track time spent</t>
  </si>
  <si>
    <t>Simulate vehicle behavior&amp; trajectories</t>
  </si>
  <si>
    <t>Deliverables</t>
  </si>
  <si>
    <t>SOW</t>
  </si>
  <si>
    <t>ACD</t>
  </si>
  <si>
    <t>Report: Methods</t>
  </si>
  <si>
    <t>Report: Results &amp; Discussion</t>
  </si>
  <si>
    <t>Ensure Github Upload</t>
  </si>
  <si>
    <t>Group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</si>
</sst>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7">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8" borderId="18" xfId="0" applyNumberFormat="1" applyFont="1" applyFill="1" applyBorder="1" applyAlignment="1">
      <alignment horizontal="center" vertical="center"/>
    </xf>
    <xf numFmtId="167" fontId="19" fillId="8" borderId="16" xfId="0" applyNumberFormat="1" applyFont="1" applyFill="1" applyBorder="1" applyAlignment="1">
      <alignment horizontal="center" vertical="center"/>
    </xf>
    <xf numFmtId="167" fontId="19" fillId="8" borderId="17" xfId="0" applyNumberFormat="1" applyFont="1" applyFill="1" applyBorder="1" applyAlignment="1">
      <alignment horizontal="center" vertical="center"/>
    </xf>
    <xf numFmtId="0" fontId="20" fillId="2" borderId="15" xfId="0" applyFont="1" applyFill="1" applyBorder="1" applyAlignment="1">
      <alignment horizontal="center" vertical="center" shrinkToFit="1"/>
    </xf>
    <xf numFmtId="0" fontId="20" fillId="2" borderId="12" xfId="0" applyFont="1" applyFill="1" applyBorder="1" applyAlignment="1">
      <alignment horizontal="center" vertical="center" shrinkToFit="1"/>
    </xf>
    <xf numFmtId="0" fontId="20" fillId="2" borderId="13"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5" borderId="0" xfId="0" applyFont="1" applyFill="1" applyAlignment="1">
      <alignment horizontal="left" vertical="center" indent="1"/>
    </xf>
    <xf numFmtId="0" fontId="17" fillId="5" borderId="0" xfId="11" applyFont="1" applyFill="1" applyBorder="1" applyAlignment="1">
      <alignment vertical="center"/>
    </xf>
    <xf numFmtId="9" fontId="1" fillId="5" borderId="0" xfId="2" applyFont="1" applyFill="1" applyBorder="1" applyAlignment="1">
      <alignment horizontal="center" vertical="center"/>
    </xf>
    <xf numFmtId="164" fontId="17"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164" fontId="17" fillId="4" borderId="5" xfId="10" applyFont="1" applyFill="1" applyBorder="1">
      <alignment horizontal="center" vertical="center"/>
    </xf>
    <xf numFmtId="0" fontId="4" fillId="0" borderId="9" xfId="0" applyFont="1" applyBorder="1" applyAlignment="1">
      <alignment vertical="center"/>
    </xf>
    <xf numFmtId="0" fontId="4" fillId="0" borderId="8" xfId="0" applyFont="1" applyBorder="1" applyAlignment="1">
      <alignment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7" fillId="3" borderId="6" xfId="11" applyFont="1" applyFill="1" applyBorder="1" applyAlignment="1">
      <alignment horizontal="left" vertical="center"/>
    </xf>
    <xf numFmtId="166" fontId="17" fillId="2" borderId="11" xfId="0" applyNumberFormat="1" applyFont="1" applyFill="1" applyBorder="1" applyAlignment="1">
      <alignment horizontal="center" vertical="center" wrapText="1"/>
    </xf>
    <xf numFmtId="166" fontId="17" fillId="2" borderId="17"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0" fontId="18" fillId="7" borderId="14" xfId="0" applyFont="1" applyFill="1" applyBorder="1" applyAlignment="1">
      <alignment horizontal="center" vertical="center"/>
    </xf>
    <xf numFmtId="0" fontId="4" fillId="2" borderId="19" xfId="0" applyFont="1" applyFill="1" applyBorder="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11" fillId="0" borderId="0" xfId="3" applyAlignment="1">
      <alignment wrapText="1"/>
    </xf>
    <xf numFmtId="0" fontId="18" fillId="7" borderId="14" xfId="0" applyFont="1" applyFill="1" applyBorder="1" applyAlignment="1">
      <alignment horizontal="left" vertical="center" indent="1"/>
    </xf>
    <xf numFmtId="0" fontId="4" fillId="2" borderId="19" xfId="0" applyFont="1" applyFill="1" applyBorder="1" applyAlignment="1">
      <alignment horizontal="left" indent="1"/>
    </xf>
    <xf numFmtId="0" fontId="18" fillId="7" borderId="14"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0">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2"/>
  <sheetViews>
    <sheetView showGridLines="0" tabSelected="1" showRuler="0" topLeftCell="A9" zoomScale="89" zoomScaleNormal="100" zoomScalePageLayoutView="70" workbookViewId="0">
      <selection activeCell="Q16" sqref="Q16"/>
    </sheetView>
  </sheetViews>
  <sheetFormatPr defaultColWidth="8.6640625" defaultRowHeight="30" customHeight="1" x14ac:dyDescent="0.3"/>
  <cols>
    <col min="1" max="1" width="2.6640625" style="10"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7">
      <c r="A1" s="11"/>
      <c r="B1" s="64" t="s">
        <v>22</v>
      </c>
      <c r="C1" s="13"/>
      <c r="D1" s="14"/>
      <c r="E1" s="15"/>
      <c r="F1" s="16"/>
      <c r="H1" s="1"/>
      <c r="I1" s="81" t="s">
        <v>19</v>
      </c>
      <c r="J1" s="82"/>
      <c r="K1" s="82"/>
      <c r="L1" s="82"/>
      <c r="M1" s="82"/>
      <c r="N1" s="82"/>
      <c r="O1" s="82"/>
      <c r="P1" s="19"/>
      <c r="Q1" s="80">
        <f ca="1">TODAY()</f>
        <v>46112</v>
      </c>
      <c r="R1" s="79"/>
      <c r="S1" s="79"/>
      <c r="T1" s="79"/>
      <c r="U1" s="79"/>
      <c r="V1" s="79"/>
      <c r="W1" s="79"/>
      <c r="X1" s="79"/>
      <c r="Y1" s="79"/>
      <c r="Z1" s="79"/>
    </row>
    <row r="2" spans="1:64" ht="30" customHeight="1" x14ac:dyDescent="0.7">
      <c r="B2" s="62" t="s">
        <v>35</v>
      </c>
      <c r="C2" s="63"/>
      <c r="D2" s="17"/>
      <c r="E2" s="18"/>
      <c r="F2" s="17"/>
      <c r="I2" s="81" t="s">
        <v>20</v>
      </c>
      <c r="J2" s="82"/>
      <c r="K2" s="82"/>
      <c r="L2" s="82"/>
      <c r="M2" s="82"/>
      <c r="N2" s="82"/>
      <c r="O2" s="82"/>
      <c r="P2" s="19"/>
      <c r="Q2" s="78">
        <v>1</v>
      </c>
      <c r="R2" s="79"/>
      <c r="S2" s="79"/>
      <c r="T2" s="79"/>
      <c r="U2" s="79"/>
      <c r="V2" s="79"/>
      <c r="W2" s="79"/>
      <c r="X2" s="79"/>
      <c r="Y2" s="79"/>
      <c r="Z2" s="79"/>
    </row>
    <row r="3" spans="1:64" s="21" customFormat="1" ht="30" customHeight="1" x14ac:dyDescent="0.3">
      <c r="A3" s="10"/>
      <c r="B3" s="20"/>
      <c r="D3" s="22"/>
      <c r="E3" s="23"/>
    </row>
    <row r="4" spans="1:64" s="21" customFormat="1" ht="30" customHeight="1" x14ac:dyDescent="0.3">
      <c r="A4" s="11"/>
      <c r="B4" s="24"/>
      <c r="E4" s="25"/>
      <c r="I4" s="75">
        <f ca="1">I5</f>
        <v>46111</v>
      </c>
      <c r="J4" s="73"/>
      <c r="K4" s="73"/>
      <c r="L4" s="73"/>
      <c r="M4" s="73"/>
      <c r="N4" s="73"/>
      <c r="O4" s="73"/>
      <c r="P4" s="73">
        <f ca="1">P5</f>
        <v>46118</v>
      </c>
      <c r="Q4" s="73"/>
      <c r="R4" s="73"/>
      <c r="S4" s="73"/>
      <c r="T4" s="73"/>
      <c r="U4" s="73"/>
      <c r="V4" s="73"/>
      <c r="W4" s="73">
        <f ca="1">W5</f>
        <v>46125</v>
      </c>
      <c r="X4" s="73"/>
      <c r="Y4" s="73"/>
      <c r="Z4" s="73"/>
      <c r="AA4" s="73"/>
      <c r="AB4" s="73"/>
      <c r="AC4" s="73"/>
      <c r="AD4" s="73">
        <f ca="1">AD5</f>
        <v>46132</v>
      </c>
      <c r="AE4" s="73"/>
      <c r="AF4" s="73"/>
      <c r="AG4" s="73"/>
      <c r="AH4" s="73"/>
      <c r="AI4" s="73"/>
      <c r="AJ4" s="73"/>
      <c r="AK4" s="73">
        <f ca="1">AK5</f>
        <v>46139</v>
      </c>
      <c r="AL4" s="73"/>
      <c r="AM4" s="73"/>
      <c r="AN4" s="73"/>
      <c r="AO4" s="73"/>
      <c r="AP4" s="73"/>
      <c r="AQ4" s="73"/>
      <c r="AR4" s="73">
        <f ca="1">AR5</f>
        <v>46146</v>
      </c>
      <c r="AS4" s="73"/>
      <c r="AT4" s="73"/>
      <c r="AU4" s="73"/>
      <c r="AV4" s="73"/>
      <c r="AW4" s="73"/>
      <c r="AX4" s="73"/>
      <c r="AY4" s="73">
        <f ca="1">AY5</f>
        <v>46153</v>
      </c>
      <c r="AZ4" s="73"/>
      <c r="BA4" s="73"/>
      <c r="BB4" s="73"/>
      <c r="BC4" s="73"/>
      <c r="BD4" s="73"/>
      <c r="BE4" s="73"/>
      <c r="BF4" s="73">
        <f ca="1">BF5</f>
        <v>46160</v>
      </c>
      <c r="BG4" s="73"/>
      <c r="BH4" s="73"/>
      <c r="BI4" s="73"/>
      <c r="BJ4" s="73"/>
      <c r="BK4" s="73"/>
      <c r="BL4" s="74"/>
    </row>
    <row r="5" spans="1:64" s="21" customFormat="1" ht="15" customHeight="1" x14ac:dyDescent="0.3">
      <c r="A5" s="83"/>
      <c r="B5" s="84" t="s">
        <v>4</v>
      </c>
      <c r="C5" s="86" t="s">
        <v>21</v>
      </c>
      <c r="D5" s="76" t="s">
        <v>0</v>
      </c>
      <c r="E5" s="76" t="s">
        <v>2</v>
      </c>
      <c r="F5" s="76" t="s">
        <v>3</v>
      </c>
      <c r="I5" s="26">
        <f ca="1">Project_Start-WEEKDAY(Project_Start,1)+2+7*(Display_Week-1)</f>
        <v>46111</v>
      </c>
      <c r="J5" s="26">
        <f ca="1">I5+1</f>
        <v>46112</v>
      </c>
      <c r="K5" s="26">
        <f t="shared" ref="K5:AX5" ca="1" si="0">J5+1</f>
        <v>46113</v>
      </c>
      <c r="L5" s="26">
        <f t="shared" ca="1" si="0"/>
        <v>46114</v>
      </c>
      <c r="M5" s="26">
        <f t="shared" ca="1" si="0"/>
        <v>46115</v>
      </c>
      <c r="N5" s="26">
        <f t="shared" ca="1" si="0"/>
        <v>46116</v>
      </c>
      <c r="O5" s="27">
        <f t="shared" ca="1" si="0"/>
        <v>46117</v>
      </c>
      <c r="P5" s="28">
        <f ca="1">O5+1</f>
        <v>46118</v>
      </c>
      <c r="Q5" s="26">
        <f ca="1">P5+1</f>
        <v>46119</v>
      </c>
      <c r="R5" s="26">
        <f t="shared" ca="1" si="0"/>
        <v>46120</v>
      </c>
      <c r="S5" s="26">
        <f t="shared" ca="1" si="0"/>
        <v>46121</v>
      </c>
      <c r="T5" s="26">
        <f t="shared" ca="1" si="0"/>
        <v>46122</v>
      </c>
      <c r="U5" s="26">
        <f t="shared" ca="1" si="0"/>
        <v>46123</v>
      </c>
      <c r="V5" s="27">
        <f t="shared" ca="1" si="0"/>
        <v>46124</v>
      </c>
      <c r="W5" s="28">
        <f ca="1">V5+1</f>
        <v>46125</v>
      </c>
      <c r="X5" s="26">
        <f ca="1">W5+1</f>
        <v>46126</v>
      </c>
      <c r="Y5" s="26">
        <f t="shared" ca="1" si="0"/>
        <v>46127</v>
      </c>
      <c r="Z5" s="26">
        <f t="shared" ca="1" si="0"/>
        <v>46128</v>
      </c>
      <c r="AA5" s="26">
        <f t="shared" ca="1" si="0"/>
        <v>46129</v>
      </c>
      <c r="AB5" s="26">
        <f t="shared" ca="1" si="0"/>
        <v>46130</v>
      </c>
      <c r="AC5" s="27">
        <f t="shared" ca="1" si="0"/>
        <v>46131</v>
      </c>
      <c r="AD5" s="28">
        <f ca="1">AC5+1</f>
        <v>46132</v>
      </c>
      <c r="AE5" s="26">
        <f ca="1">AD5+1</f>
        <v>46133</v>
      </c>
      <c r="AF5" s="26">
        <f t="shared" ca="1" si="0"/>
        <v>46134</v>
      </c>
      <c r="AG5" s="26">
        <f t="shared" ca="1" si="0"/>
        <v>46135</v>
      </c>
      <c r="AH5" s="26">
        <f t="shared" ca="1" si="0"/>
        <v>46136</v>
      </c>
      <c r="AI5" s="26">
        <f t="shared" ca="1" si="0"/>
        <v>46137</v>
      </c>
      <c r="AJ5" s="27">
        <f t="shared" ca="1" si="0"/>
        <v>46138</v>
      </c>
      <c r="AK5" s="28">
        <f ca="1">AJ5+1</f>
        <v>46139</v>
      </c>
      <c r="AL5" s="26">
        <f ca="1">AK5+1</f>
        <v>46140</v>
      </c>
      <c r="AM5" s="26">
        <f t="shared" ca="1" si="0"/>
        <v>46141</v>
      </c>
      <c r="AN5" s="26">
        <f t="shared" ca="1" si="0"/>
        <v>46142</v>
      </c>
      <c r="AO5" s="26">
        <f t="shared" ca="1" si="0"/>
        <v>46143</v>
      </c>
      <c r="AP5" s="26">
        <f t="shared" ca="1" si="0"/>
        <v>46144</v>
      </c>
      <c r="AQ5" s="27">
        <f t="shared" ca="1" si="0"/>
        <v>46145</v>
      </c>
      <c r="AR5" s="28">
        <f ca="1">AQ5+1</f>
        <v>46146</v>
      </c>
      <c r="AS5" s="26">
        <f ca="1">AR5+1</f>
        <v>46147</v>
      </c>
      <c r="AT5" s="26">
        <f t="shared" ca="1" si="0"/>
        <v>46148</v>
      </c>
      <c r="AU5" s="26">
        <f t="shared" ca="1" si="0"/>
        <v>46149</v>
      </c>
      <c r="AV5" s="26">
        <f t="shared" ca="1" si="0"/>
        <v>46150</v>
      </c>
      <c r="AW5" s="26">
        <f t="shared" ca="1" si="0"/>
        <v>46151</v>
      </c>
      <c r="AX5" s="27">
        <f t="shared" ca="1" si="0"/>
        <v>46152</v>
      </c>
      <c r="AY5" s="28">
        <f ca="1">AX5+1</f>
        <v>46153</v>
      </c>
      <c r="AZ5" s="26">
        <f ca="1">AY5+1</f>
        <v>46154</v>
      </c>
      <c r="BA5" s="26">
        <f t="shared" ref="BA5:BE5" ca="1" si="1">AZ5+1</f>
        <v>46155</v>
      </c>
      <c r="BB5" s="26">
        <f t="shared" ca="1" si="1"/>
        <v>46156</v>
      </c>
      <c r="BC5" s="26">
        <f t="shared" ca="1" si="1"/>
        <v>46157</v>
      </c>
      <c r="BD5" s="26">
        <f t="shared" ca="1" si="1"/>
        <v>46158</v>
      </c>
      <c r="BE5" s="27">
        <f t="shared" ca="1" si="1"/>
        <v>46159</v>
      </c>
      <c r="BF5" s="28">
        <f ca="1">BE5+1</f>
        <v>46160</v>
      </c>
      <c r="BG5" s="26">
        <f ca="1">BF5+1</f>
        <v>46161</v>
      </c>
      <c r="BH5" s="26">
        <f t="shared" ref="BH5:BL5" ca="1" si="2">BG5+1</f>
        <v>46162</v>
      </c>
      <c r="BI5" s="26">
        <f t="shared" ca="1" si="2"/>
        <v>46163</v>
      </c>
      <c r="BJ5" s="26">
        <f t="shared" ca="1" si="2"/>
        <v>46164</v>
      </c>
      <c r="BK5" s="26">
        <f t="shared" ca="1" si="2"/>
        <v>46165</v>
      </c>
      <c r="BL5" s="26">
        <f t="shared" ca="1" si="2"/>
        <v>46166</v>
      </c>
    </row>
    <row r="6" spans="1:64" s="21" customFormat="1" ht="15" customHeight="1" thickBot="1" x14ac:dyDescent="0.35">
      <c r="A6" s="83"/>
      <c r="B6" s="85"/>
      <c r="C6" s="77"/>
      <c r="D6" s="77"/>
      <c r="E6" s="77"/>
      <c r="F6" s="77"/>
      <c r="I6" s="29" t="str">
        <f t="shared" ref="I6:AN6" ca="1" si="3">LEFT(TEXT(I5,"ddd"),1)</f>
        <v>M</v>
      </c>
      <c r="J6" s="30" t="str">
        <f t="shared" ca="1" si="3"/>
        <v>T</v>
      </c>
      <c r="K6" s="30" t="str">
        <f t="shared" ca="1" si="3"/>
        <v>W</v>
      </c>
      <c r="L6" s="30" t="str">
        <f t="shared" ca="1" si="3"/>
        <v>T</v>
      </c>
      <c r="M6" s="30" t="str">
        <f t="shared" ca="1" si="3"/>
        <v>F</v>
      </c>
      <c r="N6" s="30" t="str">
        <f t="shared" ca="1" si="3"/>
        <v>S</v>
      </c>
      <c r="O6" s="30" t="str">
        <f t="shared" ca="1" si="3"/>
        <v>S</v>
      </c>
      <c r="P6" s="30" t="str">
        <f t="shared" ca="1" si="3"/>
        <v>M</v>
      </c>
      <c r="Q6" s="30" t="str">
        <f t="shared" ca="1" si="3"/>
        <v>T</v>
      </c>
      <c r="R6" s="30" t="str">
        <f t="shared" ca="1" si="3"/>
        <v>W</v>
      </c>
      <c r="S6" s="30" t="str">
        <f t="shared" ca="1" si="3"/>
        <v>T</v>
      </c>
      <c r="T6" s="30" t="str">
        <f t="shared" ca="1" si="3"/>
        <v>F</v>
      </c>
      <c r="U6" s="30" t="str">
        <f t="shared" ca="1" si="3"/>
        <v>S</v>
      </c>
      <c r="V6" s="30" t="str">
        <f t="shared" ca="1" si="3"/>
        <v>S</v>
      </c>
      <c r="W6" s="30" t="str">
        <f t="shared" ca="1" si="3"/>
        <v>M</v>
      </c>
      <c r="X6" s="30" t="str">
        <f t="shared" ca="1" si="3"/>
        <v>T</v>
      </c>
      <c r="Y6" s="30" t="str">
        <f t="shared" ca="1" si="3"/>
        <v>W</v>
      </c>
      <c r="Z6" s="30" t="str">
        <f t="shared" ca="1" si="3"/>
        <v>T</v>
      </c>
      <c r="AA6" s="30" t="str">
        <f t="shared" ca="1" si="3"/>
        <v>F</v>
      </c>
      <c r="AB6" s="30" t="str">
        <f t="shared" ca="1" si="3"/>
        <v>S</v>
      </c>
      <c r="AC6" s="30" t="str">
        <f t="shared" ca="1" si="3"/>
        <v>S</v>
      </c>
      <c r="AD6" s="30" t="str">
        <f t="shared" ca="1" si="3"/>
        <v>M</v>
      </c>
      <c r="AE6" s="30" t="str">
        <f t="shared" ca="1" si="3"/>
        <v>T</v>
      </c>
      <c r="AF6" s="30" t="str">
        <f t="shared" ca="1" si="3"/>
        <v>W</v>
      </c>
      <c r="AG6" s="30" t="str">
        <f t="shared" ca="1" si="3"/>
        <v>T</v>
      </c>
      <c r="AH6" s="30" t="str">
        <f t="shared" ca="1" si="3"/>
        <v>F</v>
      </c>
      <c r="AI6" s="30" t="str">
        <f t="shared" ca="1" si="3"/>
        <v>S</v>
      </c>
      <c r="AJ6" s="30" t="str">
        <f t="shared" ca="1" si="3"/>
        <v>S</v>
      </c>
      <c r="AK6" s="30" t="str">
        <f t="shared" ca="1" si="3"/>
        <v>M</v>
      </c>
      <c r="AL6" s="30" t="str">
        <f t="shared" ca="1" si="3"/>
        <v>T</v>
      </c>
      <c r="AM6" s="30" t="str">
        <f t="shared" ca="1" si="3"/>
        <v>W</v>
      </c>
      <c r="AN6" s="30" t="str">
        <f t="shared" ca="1" si="3"/>
        <v>T</v>
      </c>
      <c r="AO6" s="30" t="str">
        <f t="shared" ref="AO6:BL6" ca="1" si="4">LEFT(TEXT(AO5,"ddd"),1)</f>
        <v>F</v>
      </c>
      <c r="AP6" s="30" t="str">
        <f t="shared" ca="1" si="4"/>
        <v>S</v>
      </c>
      <c r="AQ6" s="30" t="str">
        <f t="shared" ca="1" si="4"/>
        <v>S</v>
      </c>
      <c r="AR6" s="30" t="str">
        <f t="shared" ca="1" si="4"/>
        <v>M</v>
      </c>
      <c r="AS6" s="30" t="str">
        <f t="shared" ca="1" si="4"/>
        <v>T</v>
      </c>
      <c r="AT6" s="30" t="str">
        <f t="shared" ca="1" si="4"/>
        <v>W</v>
      </c>
      <c r="AU6" s="30" t="str">
        <f t="shared" ca="1" si="4"/>
        <v>T</v>
      </c>
      <c r="AV6" s="30" t="str">
        <f t="shared" ca="1" si="4"/>
        <v>F</v>
      </c>
      <c r="AW6" s="30" t="str">
        <f t="shared" ca="1" si="4"/>
        <v>S</v>
      </c>
      <c r="AX6" s="30" t="str">
        <f t="shared" ca="1" si="4"/>
        <v>S</v>
      </c>
      <c r="AY6" s="30" t="str">
        <f t="shared" ca="1" si="4"/>
        <v>M</v>
      </c>
      <c r="AZ6" s="30" t="str">
        <f t="shared" ca="1" si="4"/>
        <v>T</v>
      </c>
      <c r="BA6" s="30" t="str">
        <f t="shared" ca="1" si="4"/>
        <v>W</v>
      </c>
      <c r="BB6" s="30" t="str">
        <f t="shared" ca="1" si="4"/>
        <v>T</v>
      </c>
      <c r="BC6" s="30" t="str">
        <f t="shared" ca="1" si="4"/>
        <v>F</v>
      </c>
      <c r="BD6" s="30" t="str">
        <f t="shared" ca="1" si="4"/>
        <v>S</v>
      </c>
      <c r="BE6" s="30" t="str">
        <f t="shared" ca="1" si="4"/>
        <v>S</v>
      </c>
      <c r="BF6" s="30" t="str">
        <f t="shared" ca="1" si="4"/>
        <v>M</v>
      </c>
      <c r="BG6" s="30" t="str">
        <f t="shared" ca="1" si="4"/>
        <v>T</v>
      </c>
      <c r="BH6" s="30" t="str">
        <f t="shared" ca="1" si="4"/>
        <v>W</v>
      </c>
      <c r="BI6" s="30" t="str">
        <f t="shared" ca="1" si="4"/>
        <v>T</v>
      </c>
      <c r="BJ6" s="30" t="str">
        <f t="shared" ca="1" si="4"/>
        <v>F</v>
      </c>
      <c r="BK6" s="30" t="str">
        <f t="shared" ca="1" si="4"/>
        <v>S</v>
      </c>
      <c r="BL6" s="31" t="str">
        <f t="shared" ca="1" si="4"/>
        <v>S</v>
      </c>
    </row>
    <row r="7" spans="1:64" s="21" customFormat="1" ht="30" hidden="1" customHeight="1" thickBot="1" x14ac:dyDescent="0.35">
      <c r="A7" s="10" t="s">
        <v>18</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x14ac:dyDescent="0.35">
      <c r="A8" s="11"/>
      <c r="B8" s="35" t="s">
        <v>23</v>
      </c>
      <c r="C8" s="36"/>
      <c r="D8" s="37"/>
      <c r="E8" s="38"/>
      <c r="F8" s="39"/>
      <c r="G8" s="12"/>
      <c r="H8" s="3" t="str">
        <f t="shared" ref="H8:H19"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x14ac:dyDescent="0.35">
      <c r="A9" s="11"/>
      <c r="B9" s="72" t="s">
        <v>27</v>
      </c>
      <c r="C9" s="43"/>
      <c r="D9" s="44">
        <v>1</v>
      </c>
      <c r="E9" s="45">
        <f ca="1">Project_Start</f>
        <v>46112</v>
      </c>
      <c r="F9" s="49">
        <f ca="1">E9</f>
        <v>46112</v>
      </c>
      <c r="G9" s="12"/>
      <c r="H9" s="3">
        <f t="shared" ca="1" si="5"/>
        <v>1</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41" customFormat="1" ht="30" customHeight="1" thickBot="1" x14ac:dyDescent="0.35">
      <c r="A10" s="11"/>
      <c r="B10" s="42" t="s">
        <v>24</v>
      </c>
      <c r="C10" s="48"/>
      <c r="D10" s="44">
        <v>1</v>
      </c>
      <c r="E10" s="49">
        <v>46088</v>
      </c>
      <c r="F10" s="49">
        <f>E10</f>
        <v>46088</v>
      </c>
      <c r="G10" s="12"/>
      <c r="H10" s="3">
        <f t="shared" si="5"/>
        <v>1</v>
      </c>
      <c r="I10" s="46"/>
      <c r="J10" s="46"/>
      <c r="K10" s="46"/>
      <c r="L10" s="46"/>
      <c r="M10" s="46"/>
      <c r="N10" s="46"/>
      <c r="O10" s="46"/>
      <c r="P10" s="46"/>
      <c r="Q10" s="46"/>
      <c r="R10" s="46"/>
      <c r="S10" s="46"/>
      <c r="T10" s="46"/>
      <c r="U10" s="50"/>
      <c r="V10" s="50"/>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41" customFormat="1" ht="30" customHeight="1" thickBot="1" x14ac:dyDescent="0.35">
      <c r="A11" s="10"/>
      <c r="B11" s="47" t="s">
        <v>25</v>
      </c>
      <c r="C11" s="48"/>
      <c r="D11" s="44">
        <v>1</v>
      </c>
      <c r="E11" s="49">
        <f>E10</f>
        <v>46088</v>
      </c>
      <c r="F11" s="49">
        <f>F10</f>
        <v>46088</v>
      </c>
      <c r="G11" s="12"/>
      <c r="H11" s="3">
        <f t="shared" si="5"/>
        <v>1</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41" customFormat="1" ht="30" customHeight="1" thickBot="1" x14ac:dyDescent="0.35">
      <c r="A12" s="10"/>
      <c r="B12" s="47" t="s">
        <v>26</v>
      </c>
      <c r="C12" s="48"/>
      <c r="D12" s="44">
        <v>1</v>
      </c>
      <c r="E12" s="49">
        <v>46104</v>
      </c>
      <c r="F12" s="49">
        <f>E12+8</f>
        <v>46112</v>
      </c>
      <c r="G12" s="12"/>
      <c r="H12" s="3">
        <f t="shared" si="5"/>
        <v>9</v>
      </c>
      <c r="I12" s="46"/>
      <c r="J12" s="46"/>
      <c r="K12" s="46"/>
      <c r="L12" s="46"/>
      <c r="M12" s="46"/>
      <c r="N12" s="46"/>
      <c r="O12" s="46"/>
      <c r="P12" s="46"/>
      <c r="Q12" s="46"/>
      <c r="R12" s="46"/>
      <c r="S12" s="46"/>
      <c r="T12" s="46"/>
      <c r="U12" s="46"/>
      <c r="V12" s="46"/>
      <c r="W12" s="46"/>
      <c r="X12" s="46"/>
      <c r="Y12" s="50"/>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41" customFormat="1" ht="30" customHeight="1" thickBot="1" x14ac:dyDescent="0.35">
      <c r="A13" s="10"/>
      <c r="B13" s="47" t="s">
        <v>28</v>
      </c>
      <c r="C13" s="48"/>
      <c r="D13" s="44">
        <v>1</v>
      </c>
      <c r="E13" s="49">
        <f>E12</f>
        <v>46104</v>
      </c>
      <c r="F13" s="49">
        <f>F12</f>
        <v>46112</v>
      </c>
      <c r="G13" s="12"/>
      <c r="H13" s="3">
        <f t="shared" si="5"/>
        <v>9</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41" customFormat="1" ht="30" customHeight="1" thickBot="1" x14ac:dyDescent="0.35">
      <c r="A14" s="11"/>
      <c r="B14" s="51" t="s">
        <v>29</v>
      </c>
      <c r="C14" s="52"/>
      <c r="D14" s="53"/>
      <c r="E14" s="54"/>
      <c r="F14" s="55"/>
      <c r="G14" s="12"/>
      <c r="H14" s="3" t="str">
        <f t="shared" si="5"/>
        <v/>
      </c>
    </row>
    <row r="15" spans="1:64" s="41" customFormat="1" ht="30" customHeight="1" thickBot="1" x14ac:dyDescent="0.35">
      <c r="A15" s="11"/>
      <c r="B15" s="56" t="s">
        <v>30</v>
      </c>
      <c r="C15" s="57"/>
      <c r="D15" s="44">
        <v>1</v>
      </c>
      <c r="E15" s="58">
        <f ca="1">E9-7</f>
        <v>46105</v>
      </c>
      <c r="F15" s="58">
        <f ca="1">E15</f>
        <v>46105</v>
      </c>
      <c r="G15" s="12"/>
      <c r="H15" s="3">
        <f t="shared" ca="1" si="5"/>
        <v>1</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41" customFormat="1" ht="30" customHeight="1" thickBot="1" x14ac:dyDescent="0.35">
      <c r="A16" s="10"/>
      <c r="B16" s="56" t="s">
        <v>31</v>
      </c>
      <c r="C16" s="57"/>
      <c r="D16" s="44">
        <v>1</v>
      </c>
      <c r="E16" s="58">
        <f>E10-7</f>
        <v>46081</v>
      </c>
      <c r="F16" s="58">
        <f ca="1">F9</f>
        <v>46112</v>
      </c>
      <c r="G16" s="12"/>
      <c r="H16" s="3">
        <f t="shared" ca="1" si="5"/>
        <v>32</v>
      </c>
      <c r="I16" s="46"/>
      <c r="J16" s="46"/>
      <c r="K16" s="46"/>
      <c r="L16" s="46"/>
      <c r="M16" s="46"/>
      <c r="N16" s="46"/>
      <c r="O16" s="46"/>
      <c r="P16" s="46"/>
      <c r="Q16" s="46"/>
      <c r="R16" s="46"/>
      <c r="S16" s="46"/>
      <c r="T16" s="46"/>
      <c r="U16" s="50"/>
      <c r="V16" s="50"/>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64" s="41" customFormat="1" ht="30" customHeight="1" thickBot="1" x14ac:dyDescent="0.35">
      <c r="A17" s="10"/>
      <c r="B17" s="56" t="s">
        <v>32</v>
      </c>
      <c r="C17" s="57"/>
      <c r="D17" s="44">
        <v>1</v>
      </c>
      <c r="E17" s="58">
        <f>E11-7</f>
        <v>46081</v>
      </c>
      <c r="F17" s="58">
        <f ca="1">F9</f>
        <v>46112</v>
      </c>
      <c r="G17" s="12"/>
      <c r="H17" s="3">
        <f t="shared" ca="1" si="5"/>
        <v>32</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64" s="41" customFormat="1" ht="30" customHeight="1" thickBot="1" x14ac:dyDescent="0.35">
      <c r="A18" s="10"/>
      <c r="B18" s="56" t="s">
        <v>33</v>
      </c>
      <c r="C18" s="57"/>
      <c r="D18" s="44">
        <v>1</v>
      </c>
      <c r="E18" s="58">
        <f>E12-7</f>
        <v>46097</v>
      </c>
      <c r="F18" s="58">
        <f ca="1">F9</f>
        <v>46112</v>
      </c>
      <c r="G18" s="12"/>
      <c r="H18" s="3">
        <f t="shared" ca="1" si="5"/>
        <v>16</v>
      </c>
      <c r="I18" s="46"/>
      <c r="J18" s="46"/>
      <c r="K18" s="46"/>
      <c r="L18" s="46"/>
      <c r="M18" s="46"/>
      <c r="N18" s="46"/>
      <c r="O18" s="46"/>
      <c r="P18" s="46"/>
      <c r="Q18" s="46"/>
      <c r="R18" s="46"/>
      <c r="S18" s="46"/>
      <c r="T18" s="46"/>
      <c r="U18" s="46"/>
      <c r="V18" s="46"/>
      <c r="W18" s="46"/>
      <c r="X18" s="46"/>
      <c r="Y18" s="50"/>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64" s="41" customFormat="1" ht="30" customHeight="1" thickBot="1" x14ac:dyDescent="0.35">
      <c r="A19" s="10"/>
      <c r="B19" s="56" t="s">
        <v>34</v>
      </c>
      <c r="C19" s="57"/>
      <c r="D19" s="44">
        <v>1</v>
      </c>
      <c r="E19" s="58">
        <f>E13-7</f>
        <v>46097</v>
      </c>
      <c r="F19" s="58">
        <f ca="1">F9</f>
        <v>46112</v>
      </c>
      <c r="G19" s="12"/>
      <c r="H19" s="3">
        <f t="shared" ca="1" si="5"/>
        <v>16</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row>
    <row r="20" spans="1:64" s="41" customFormat="1" ht="30" customHeight="1" x14ac:dyDescent="0.3">
      <c r="A20" s="10"/>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59"/>
      <c r="BH20" s="59"/>
      <c r="BI20" s="59"/>
      <c r="BJ20" s="59"/>
      <c r="BK20" s="59"/>
      <c r="BL20" s="59"/>
    </row>
    <row r="21" spans="1:64" s="41" customFormat="1" ht="30" customHeight="1" x14ac:dyDescent="0.3">
      <c r="A21" s="10"/>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row>
    <row r="22" spans="1:64" s="41" customFormat="1" ht="30" customHeight="1" x14ac:dyDescent="0.3">
      <c r="A22" s="10"/>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row>
    <row r="23" spans="1:64" s="41" customFormat="1" ht="30" customHeight="1" x14ac:dyDescent="0.3">
      <c r="A23" s="10"/>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row>
    <row r="24" spans="1:64" s="41" customFormat="1" ht="30" customHeight="1" x14ac:dyDescent="0.3">
      <c r="A24" s="10"/>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row>
    <row r="25" spans="1:64" s="41" customFormat="1" ht="30" customHeight="1" x14ac:dyDescent="0.3">
      <c r="A25" s="10"/>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row>
    <row r="26" spans="1:64" s="41" customFormat="1" ht="30" customHeight="1" x14ac:dyDescent="0.3">
      <c r="A26" s="10"/>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60"/>
      <c r="BH26" s="60"/>
      <c r="BI26" s="60"/>
      <c r="BJ26" s="60"/>
      <c r="BK26" s="60"/>
      <c r="BL26" s="60"/>
    </row>
    <row r="27" spans="1:64" s="41" customFormat="1" ht="30" customHeight="1" x14ac:dyDescent="0.3">
      <c r="A27" s="10"/>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row>
    <row r="28" spans="1:64" s="41" customFormat="1" ht="30" customHeight="1" x14ac:dyDescent="0.3">
      <c r="A28" s="10"/>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row>
    <row r="29" spans="1:64" s="41" customFormat="1" ht="30" customHeight="1" x14ac:dyDescent="0.3">
      <c r="A29" s="10"/>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row>
    <row r="30" spans="1:64" s="41" customFormat="1" ht="30" customHeight="1" x14ac:dyDescent="0.3">
      <c r="A30" s="10"/>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row>
    <row r="31" spans="1:64" s="41" customFormat="1" ht="30" customHeight="1" x14ac:dyDescent="0.3">
      <c r="A31" s="10"/>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row>
    <row r="32" spans="1:64" s="41" customFormat="1" ht="30" customHeight="1" x14ac:dyDescent="0.3">
      <c r="A32" s="10"/>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0"/>
      <c r="BH32" s="40"/>
      <c r="BI32" s="40"/>
      <c r="BJ32" s="40"/>
      <c r="BK32" s="40"/>
      <c r="BL32" s="40"/>
    </row>
    <row r="33" spans="1:64" s="41" customFormat="1" ht="30" customHeight="1" x14ac:dyDescent="0.3">
      <c r="A33" s="11"/>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61"/>
      <c r="BH33" s="61"/>
      <c r="BI33" s="61"/>
      <c r="BJ33" s="61"/>
      <c r="BK33" s="61"/>
      <c r="BL33" s="61"/>
    </row>
    <row r="34" spans="1:64" ht="30" customHeight="1" x14ac:dyDescent="0.3">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row>
    <row r="35" spans="1:64" ht="30" customHeight="1" x14ac:dyDescent="0.3">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row>
    <row r="36" spans="1:64" ht="30" customHeight="1" x14ac:dyDescent="0.3">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row>
    <row r="37" spans="1:64" ht="30" customHeight="1" x14ac:dyDescent="0.3">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row>
    <row r="38" spans="1:64" ht="30" customHeight="1" x14ac:dyDescent="0.3">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row>
    <row r="39" spans="1:64" ht="30" customHeight="1" x14ac:dyDescent="0.3">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row>
    <row r="40" spans="1:64" ht="30" customHeight="1" x14ac:dyDescent="0.3">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row>
    <row r="41" spans="1:64" ht="30" customHeight="1" x14ac:dyDescent="0.3">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row>
    <row r="42" spans="1:64" ht="30" customHeight="1" x14ac:dyDescent="0.3">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B20:BF42 I4:BL19 BG20:BL31">
    <cfRule type="expression" dxfId="10" priority="3">
      <formula>AND(TODAY()&gt;=B$5, TODAY()&lt;C$5)</formula>
    </cfRule>
  </conditionalFormatting>
  <conditionalFormatting sqref="B20:BF42">
    <cfRule type="expression" dxfId="9" priority="1">
      <formula>AND(task_start&lt;=B$5,ROUNDDOWN((task_end-task_start+1)*task_progress,0)+task_start-1&gt;=B$5)</formula>
    </cfRule>
    <cfRule type="expression" dxfId="8" priority="2" stopIfTrue="1">
      <formula>AND(task_end&gt;=B$5,task_start&lt;C$5)</formula>
    </cfRule>
  </conditionalFormatting>
  <conditionalFormatting sqref="D7:D19">
    <cfRule type="dataBar" priority="25">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7" priority="8">
      <formula>AND(task_start&lt;=I$5,ROUNDDOWN((task_end-task_start+1)*task_progress,0)+task_start-1&gt;=I$5)</formula>
    </cfRule>
    <cfRule type="expression" dxfId="6" priority="9" stopIfTrue="1">
      <formula>AND(task_end&gt;=I$5,task_start&lt;J$5)</formula>
    </cfRule>
  </conditionalFormatting>
  <conditionalFormatting sqref="I15:BL19">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BG21:BL25">
    <cfRule type="expression" dxfId="3" priority="4">
      <formula>AND(task_start&lt;=BG$5,ROUNDDOWN((task_end-task_start+1)*task_progress,0)+task_start-1&gt;=BG$5)</formula>
    </cfRule>
    <cfRule type="expression" dxfId="2" priority="5" stopIfTrue="1">
      <formula>AND(task_end&gt;=BG$5,task_start&lt;BH$5)</formula>
    </cfRule>
  </conditionalFormatting>
  <conditionalFormatting sqref="BG27:BL31">
    <cfRule type="expression" dxfId="1" priority="38">
      <formula>AND(task_start&lt;=BG$5,ROUNDDOWN((task_end-task_start+1)*task_progress,0)+task_start-1&gt;=BG$5)</formula>
    </cfRule>
    <cfRule type="expression" dxfId="0" priority="39" stopIfTrue="1">
      <formula>AND(task_end&gt;=BG$5,task_start&lt;BH$5)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4" customWidth="1"/>
    <col min="2" max="16384" width="9" style="1"/>
  </cols>
  <sheetData>
    <row r="1" spans="1:2" ht="46.5" customHeight="1" x14ac:dyDescent="0.25"/>
    <row r="2" spans="1:2" s="6" customFormat="1" ht="15.5" x14ac:dyDescent="0.3">
      <c r="A2" s="65" t="s">
        <v>7</v>
      </c>
      <c r="B2" s="5"/>
    </row>
    <row r="3" spans="1:2" s="8" customFormat="1" ht="27" customHeight="1" x14ac:dyDescent="0.3">
      <c r="A3" s="66"/>
      <c r="B3" s="9"/>
    </row>
    <row r="4" spans="1:2" s="7" customFormat="1" ht="30.5" x14ac:dyDescent="0.85">
      <c r="A4" s="67" t="s">
        <v>6</v>
      </c>
    </row>
    <row r="5" spans="1:2" ht="74.25" customHeight="1" x14ac:dyDescent="0.25">
      <c r="A5" s="68" t="s">
        <v>14</v>
      </c>
    </row>
    <row r="6" spans="1:2" ht="26.25" customHeight="1" x14ac:dyDescent="0.25">
      <c r="A6" s="67" t="s">
        <v>17</v>
      </c>
    </row>
    <row r="7" spans="1:2" s="4" customFormat="1" ht="205" customHeight="1" x14ac:dyDescent="0.3">
      <c r="A7" s="69" t="s">
        <v>16</v>
      </c>
    </row>
    <row r="8" spans="1:2" s="7" customFormat="1" ht="30.5" x14ac:dyDescent="0.85">
      <c r="A8" s="67" t="s">
        <v>8</v>
      </c>
    </row>
    <row r="9" spans="1:2" ht="42" x14ac:dyDescent="0.25">
      <c r="A9" s="68" t="s">
        <v>15</v>
      </c>
    </row>
    <row r="10" spans="1:2" s="4" customFormat="1" ht="28" customHeight="1" x14ac:dyDescent="0.3">
      <c r="A10" s="70" t="s">
        <v>13</v>
      </c>
    </row>
    <row r="11" spans="1:2" s="7" customFormat="1" ht="30.5" x14ac:dyDescent="0.85">
      <c r="A11" s="67" t="s">
        <v>5</v>
      </c>
    </row>
    <row r="12" spans="1:2" ht="28" x14ac:dyDescent="0.25">
      <c r="A12" s="68" t="s">
        <v>12</v>
      </c>
    </row>
    <row r="13" spans="1:2" s="4" customFormat="1" ht="28" customHeight="1" x14ac:dyDescent="0.3">
      <c r="A13" s="70" t="s">
        <v>1</v>
      </c>
    </row>
    <row r="14" spans="1:2" s="7" customFormat="1" ht="30.5" x14ac:dyDescent="0.85">
      <c r="A14" s="67" t="s">
        <v>9</v>
      </c>
    </row>
    <row r="15" spans="1:2" ht="75" customHeight="1" x14ac:dyDescent="0.25">
      <c r="A15" s="68" t="s">
        <v>10</v>
      </c>
    </row>
    <row r="16" spans="1:2" ht="70" x14ac:dyDescent="0.25">
      <c r="A16" s="68" t="s">
        <v>11</v>
      </c>
    </row>
    <row r="17" spans="1:1" x14ac:dyDescent="0.25">
      <c r="A17" s="71"/>
    </row>
    <row r="18" spans="1:1" x14ac:dyDescent="0.25">
      <c r="A18" s="71"/>
    </row>
    <row r="19" spans="1:1" x14ac:dyDescent="0.25">
      <c r="A19" s="71"/>
    </row>
    <row r="20" spans="1:1" x14ac:dyDescent="0.25">
      <c r="A20" s="71"/>
    </row>
    <row r="21" spans="1:1" x14ac:dyDescent="0.25">
      <c r="A21" s="71"/>
    </row>
    <row r="22" spans="1:1" x14ac:dyDescent="0.25">
      <c r="A22" s="71"/>
    </row>
    <row r="23" spans="1:1" x14ac:dyDescent="0.25">
      <c r="A23" s="71"/>
    </row>
    <row r="24" spans="1:1" x14ac:dyDescent="0.25">
      <c r="A24" s="7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Johnathan Sevick</dc:creator>
  <dc:description/>
  <cp:lastModifiedBy>Johnathan Sevick</cp:lastModifiedBy>
  <dcterms:created xsi:type="dcterms:W3CDTF">2022-03-11T22:41:12Z</dcterms:created>
  <dcterms:modified xsi:type="dcterms:W3CDTF">2026-03-31T21:31:17Z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